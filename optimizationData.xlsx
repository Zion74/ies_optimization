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G2" i="1" l="1"/>
  <c r="A2" i="1"/>
  <c r="I5" i="1" l="1"/>
  <c r="H5" i="1"/>
  <c r="I2" i="1"/>
  <c r="H2" i="1"/>
  <c r="G5" i="1"/>
  <c r="G8" i="1" s="1"/>
  <c r="E2" i="1"/>
  <c r="D2" i="1"/>
  <c r="D5" i="1" s="1"/>
  <c r="F5" i="1"/>
  <c r="F2" i="1"/>
  <c r="E5" i="1"/>
  <c r="E8" i="1" s="1"/>
  <c r="C5" i="1"/>
  <c r="C2" i="1"/>
  <c r="F8" i="1" l="1"/>
  <c r="D8" i="1"/>
  <c r="I8" i="1"/>
  <c r="H8" i="1"/>
  <c r="C8" i="1"/>
  <c r="B5" i="1"/>
  <c r="B8" i="1" s="1"/>
  <c r="A5" i="1"/>
  <c r="A8" i="1" s="1"/>
</calcChain>
</file>

<file path=xl/sharedStrings.xml><?xml version="1.0" encoding="utf-8"?>
<sst xmlns="http://schemas.openxmlformats.org/spreadsheetml/2006/main" count="30" uniqueCount="30">
  <si>
    <t>光伏年化投资系数</t>
    <phoneticPr fontId="1" type="noConversion"/>
  </si>
  <si>
    <t>风电年化投资系数</t>
    <phoneticPr fontId="1" type="noConversion"/>
  </si>
  <si>
    <t>电储能年化投资系数</t>
    <phoneticPr fontId="1" type="noConversion"/>
  </si>
  <si>
    <t>光伏年化维护系数</t>
    <phoneticPr fontId="1" type="noConversion"/>
  </si>
  <si>
    <t>风电年化维护系数</t>
    <phoneticPr fontId="1" type="noConversion"/>
  </si>
  <si>
    <t>电储能年化维护系数</t>
    <phoneticPr fontId="1" type="noConversion"/>
  </si>
  <si>
    <t>光伏年化成本系数</t>
    <phoneticPr fontId="1" type="noConversion"/>
  </si>
  <si>
    <t>风电年化成本系数</t>
    <phoneticPr fontId="1" type="noConversion"/>
  </si>
  <si>
    <t>电储能年化成本系数</t>
    <phoneticPr fontId="1" type="noConversion"/>
  </si>
  <si>
    <r>
      <t>电容量费（</t>
    </r>
    <r>
      <rPr>
        <sz val="11"/>
        <color theme="1"/>
        <rFont val="等线"/>
        <family val="3"/>
        <charset val="134"/>
        <scheme val="minor"/>
      </rPr>
      <t>€</t>
    </r>
    <r>
      <rPr>
        <sz val="11"/>
        <color theme="1"/>
        <rFont val="等线"/>
        <family val="2"/>
        <scheme val="minor"/>
      </rPr>
      <t>/(kWxMonth)）</t>
    </r>
    <phoneticPr fontId="1" type="noConversion"/>
  </si>
  <si>
    <r>
      <t>气价（</t>
    </r>
    <r>
      <rPr>
        <sz val="11"/>
        <color theme="1"/>
        <rFont val="等线"/>
        <family val="3"/>
        <charset val="134"/>
        <scheme val="minor"/>
      </rPr>
      <t>€</t>
    </r>
    <r>
      <rPr>
        <sz val="11"/>
        <color theme="1"/>
        <rFont val="等线"/>
        <family val="2"/>
        <scheme val="minor"/>
      </rPr>
      <t>/kWh）</t>
    </r>
    <phoneticPr fontId="1" type="noConversion"/>
  </si>
  <si>
    <r>
      <t>电价（</t>
    </r>
    <r>
      <rPr>
        <sz val="11"/>
        <color theme="1"/>
        <rFont val="等线"/>
        <family val="3"/>
        <charset val="134"/>
        <scheme val="minor"/>
      </rPr>
      <t>€</t>
    </r>
    <r>
      <rPr>
        <sz val="11"/>
        <color theme="1"/>
        <rFont val="等线"/>
        <family val="2"/>
        <scheme val="minor"/>
      </rPr>
      <t>/kWh）</t>
    </r>
    <phoneticPr fontId="1" type="noConversion"/>
  </si>
  <si>
    <t>燃气轮机年化投资系数</t>
    <phoneticPr fontId="1" type="noConversion"/>
  </si>
  <si>
    <t>燃气轮机年化维护系数</t>
    <phoneticPr fontId="1" type="noConversion"/>
  </si>
  <si>
    <t>燃气轮机年化成本系数</t>
    <phoneticPr fontId="1" type="noConversion"/>
  </si>
  <si>
    <t>电热泵年化投资系数</t>
    <phoneticPr fontId="1" type="noConversion"/>
  </si>
  <si>
    <t>电热泵年化维护系数</t>
    <phoneticPr fontId="1" type="noConversion"/>
  </si>
  <si>
    <t>电热泵年化成本系数</t>
    <phoneticPr fontId="1" type="noConversion"/>
  </si>
  <si>
    <t>电制冷年化投资系数</t>
    <phoneticPr fontId="1" type="noConversion"/>
  </si>
  <si>
    <t>电制冷年化维护系数</t>
    <phoneticPr fontId="1" type="noConversion"/>
  </si>
  <si>
    <t>电制冷年化成本系数</t>
    <phoneticPr fontId="1" type="noConversion"/>
  </si>
  <si>
    <t>吸收式制冷年化投资系数</t>
    <phoneticPr fontId="1" type="noConversion"/>
  </si>
  <si>
    <t>吸收式制冷年化维护系数</t>
    <phoneticPr fontId="1" type="noConversion"/>
  </si>
  <si>
    <t>吸收式制冷年化成本系数</t>
    <phoneticPr fontId="1" type="noConversion"/>
  </si>
  <si>
    <t>热储能年化投资系数</t>
    <phoneticPr fontId="1" type="noConversion"/>
  </si>
  <si>
    <t>热储能年化维护系数</t>
    <phoneticPr fontId="1" type="noConversion"/>
  </si>
  <si>
    <t>热储能年化成本系数</t>
    <phoneticPr fontId="1" type="noConversion"/>
  </si>
  <si>
    <t>冷储能年化投资系数</t>
    <phoneticPr fontId="1" type="noConversion"/>
  </si>
  <si>
    <t>冷储能年化维护系数</t>
    <phoneticPr fontId="1" type="noConversion"/>
  </si>
  <si>
    <t>冷储能年化成本系数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</si>
</sst>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11" sqref="E11"/>
    </sheetView>
  </sheetViews>
  <sheetFormatPr defaultRowHeight="13.8" x14ac:dyDescent="0.25"/>
  <cols>
    <col min="1" max="1" width="27.44140625" bestFit="1" customWidth="1"/>
    <col min="2" max="2" width="18.33203125" bestFit="1" customWidth="1"/>
    <col min="3" max="3" width="22.6640625" bestFit="1" customWidth="1"/>
    <col min="4" max="5" width="20.44140625" bestFit="1" customWidth="1"/>
    <col min="6" max="6" width="24.88671875" bestFit="1" customWidth="1"/>
    <col min="7" max="10" width="20.44140625" bestFit="1" customWidth="1"/>
  </cols>
  <sheetData>
    <row r="1" spans="1:9" x14ac:dyDescent="0.25">
      <c r="A1" t="s">
        <v>0</v>
      </c>
      <c r="B1" t="s">
        <v>1</v>
      </c>
      <c r="C1" t="s">
        <v>12</v>
      </c>
      <c r="D1" t="s">
        <v>15</v>
      </c>
      <c r="E1" t="s">
        <v>18</v>
      </c>
      <c r="F1" t="s">
        <v>21</v>
      </c>
      <c r="G1" t="s">
        <v>2</v>
      </c>
      <c r="H1" t="s">
        <v>24</v>
      </c>
      <c r="I1" t="s">
        <v>27</v>
      </c>
    </row>
    <row r="2" spans="1:9" x14ac:dyDescent="0.25">
      <c r="A2">
        <f>0.08*1.08^25/(1.08^25-1)*800</f>
        <v>74.943023241574494</v>
      </c>
      <c r="B2">
        <f>0.08*1.08^22/(1.08^22-1)*1100</f>
        <v>107.83527519559082</v>
      </c>
      <c r="C2">
        <f>0.08*1.08^30/(1.08^30-1)*550</f>
        <v>48.855088362999744</v>
      </c>
      <c r="D2">
        <f>0.08*1.08^20/(1.08^20-1)*1940/19*2</f>
        <v>20.799293170201278</v>
      </c>
      <c r="E2">
        <f>0.08*1.08^20/(1.08^20-1)*6600/60*2</f>
        <v>22.407485941093128</v>
      </c>
      <c r="F2">
        <f>0.08*1.08^20/(1.08^20-1)*210</f>
        <v>21.388963852861625</v>
      </c>
      <c r="G2">
        <f>0.08*1.08^20/(1.08^20-1)*170*2</f>
        <v>34.629750999871199</v>
      </c>
      <c r="H2">
        <f>0.08*1.08^25/(1.08^25-1)*18</f>
        <v>1.686218022935426</v>
      </c>
      <c r="I2">
        <f>0.08*1.08^25/(1.08^25-1)*18</f>
        <v>1.686218022935426</v>
      </c>
    </row>
    <row r="4" spans="1:9" x14ac:dyDescent="0.25">
      <c r="A4" t="s">
        <v>3</v>
      </c>
      <c r="B4" t="s">
        <v>4</v>
      </c>
      <c r="C4" t="s">
        <v>13</v>
      </c>
      <c r="D4" t="s">
        <v>16</v>
      </c>
      <c r="E4" t="s">
        <v>19</v>
      </c>
      <c r="F4" t="s">
        <v>22</v>
      </c>
      <c r="G4" t="s">
        <v>5</v>
      </c>
      <c r="H4" t="s">
        <v>25</v>
      </c>
      <c r="I4" t="s">
        <v>28</v>
      </c>
    </row>
    <row r="5" spans="1:9" x14ac:dyDescent="0.25">
      <c r="A5">
        <f>A2*0.02</f>
        <v>1.4988604648314898</v>
      </c>
      <c r="B5">
        <f>B2*0.024</f>
        <v>2.5880466046941799</v>
      </c>
      <c r="C5">
        <f>C2*0.03</f>
        <v>1.4656526508899923</v>
      </c>
      <c r="D5">
        <f>D2*0.02</f>
        <v>0.41598586340402555</v>
      </c>
      <c r="E5">
        <f>E2*0.02</f>
        <v>0.44814971882186255</v>
      </c>
      <c r="F5">
        <f>F2*0.02</f>
        <v>0.42777927705723251</v>
      </c>
      <c r="G5">
        <f>G2*0.014</f>
        <v>0.48481651399819681</v>
      </c>
      <c r="H5">
        <f>H2*0.002</f>
        <v>3.3724360458708522E-3</v>
      </c>
      <c r="I5">
        <f>I2*0.002</f>
        <v>3.3724360458708522E-3</v>
      </c>
    </row>
    <row r="7" spans="1:9" x14ac:dyDescent="0.25">
      <c r="A7" t="s">
        <v>6</v>
      </c>
      <c r="B7" t="s">
        <v>7</v>
      </c>
      <c r="C7" t="s">
        <v>14</v>
      </c>
      <c r="D7" t="s">
        <v>17</v>
      </c>
      <c r="E7" t="s">
        <v>20</v>
      </c>
      <c r="F7" t="s">
        <v>23</v>
      </c>
      <c r="G7" t="s">
        <v>8</v>
      </c>
      <c r="H7" t="s">
        <v>26</v>
      </c>
      <c r="I7" t="s">
        <v>29</v>
      </c>
    </row>
    <row r="8" spans="1:9" x14ac:dyDescent="0.25">
      <c r="A8">
        <f>A2+A5</f>
        <v>76.441883706405989</v>
      </c>
      <c r="B8">
        <f>B2+B5</f>
        <v>110.42332180028501</v>
      </c>
      <c r="C8">
        <f t="shared" ref="C8" si="0">C2+C5</f>
        <v>50.320741013889737</v>
      </c>
      <c r="D8">
        <f>D2+D5</f>
        <v>21.215279033605302</v>
      </c>
      <c r="E8">
        <f>E2+E5</f>
        <v>22.855635659914991</v>
      </c>
      <c r="F8">
        <f t="shared" ref="F8" si="1">F2+F5</f>
        <v>21.816743129918859</v>
      </c>
      <c r="G8">
        <f t="shared" ref="G8:I8" si="2">G2+G5</f>
        <v>35.114567513869396</v>
      </c>
      <c r="H8">
        <f>H2+H5</f>
        <v>1.6895904589812969</v>
      </c>
      <c r="I8">
        <f t="shared" si="2"/>
        <v>1.6895904589812969</v>
      </c>
    </row>
    <row r="10" spans="1:9" x14ac:dyDescent="0.25">
      <c r="A10" t="s">
        <v>9</v>
      </c>
      <c r="B10" t="s">
        <v>11</v>
      </c>
      <c r="C10" t="s">
        <v>10</v>
      </c>
    </row>
    <row r="11" spans="1:9" x14ac:dyDescent="0.25">
      <c r="A11">
        <v>16.7</v>
      </c>
      <c r="B11">
        <v>2.8E-3</v>
      </c>
      <c r="C11">
        <v>2.86E-2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2021-12-04T08:53:52Z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6e99d4cd-0a8f-4908-92da-c8182ea03032</vt:lpwstr>
  </property>
</Properties>
</file>